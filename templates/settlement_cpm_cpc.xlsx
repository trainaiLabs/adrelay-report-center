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relay-report-center\templates\"/>
    </mc:Choice>
  </mc:AlternateContent>
  <xr:revisionPtr revIDLastSave="0" documentId="13_ncr:1_{6E510961-014B-4DCF-B731-EF08AED51F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매체 정산서" sheetId="1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" i="17" l="1"/>
  <c r="H31" i="17"/>
  <c r="G22" i="17"/>
  <c r="G24" i="17"/>
  <c r="H24" i="17" s="1"/>
  <c r="I24" i="17" s="1"/>
  <c r="G29" i="17"/>
  <c r="G28" i="17"/>
  <c r="H28" i="17" s="1"/>
  <c r="I28" i="17" s="1"/>
  <c r="G27" i="17"/>
  <c r="G26" i="17"/>
  <c r="G21" i="17"/>
  <c r="G20" i="17"/>
  <c r="H22" i="17" l="1"/>
  <c r="I22" i="17" s="1"/>
  <c r="H29" i="17"/>
  <c r="I29" i="17" s="1"/>
  <c r="H27" i="17"/>
  <c r="I27" i="17" s="1"/>
  <c r="H26" i="17"/>
  <c r="I26" i="17" s="1"/>
  <c r="H21" i="17"/>
  <c r="I21" i="17" s="1"/>
  <c r="H20" i="17"/>
  <c r="I20" i="17" s="1"/>
  <c r="G23" i="17"/>
  <c r="G30" i="17"/>
  <c r="H23" i="17" l="1"/>
  <c r="I23" i="17" s="1"/>
  <c r="H30" i="17"/>
  <c r="I30" i="17" s="1"/>
  <c r="G25" i="17"/>
  <c r="H25" i="17" l="1"/>
  <c r="I25" i="17" s="1"/>
</calcChain>
</file>

<file path=xl/sharedStrings.xml><?xml version="1.0" encoding="utf-8"?>
<sst xmlns="http://schemas.openxmlformats.org/spreadsheetml/2006/main" count="40" uniqueCount="29">
  <si>
    <t>CTR</t>
  </si>
  <si>
    <t>합계</t>
  </si>
  <si>
    <t>기간</t>
  </si>
  <si>
    <t>매체명</t>
  </si>
  <si>
    <t>노출수</t>
  </si>
  <si>
    <t>클릭수</t>
  </si>
  <si>
    <t>세액</t>
  </si>
  <si>
    <t>구분</t>
  </si>
  <si>
    <t>발행일자</t>
  </si>
  <si>
    <t>지급예정일</t>
  </si>
  <si>
    <t>케이엘미디어</t>
  </si>
  <si>
    <t>금액</t>
  </si>
  <si>
    <t>순매체비</t>
  </si>
  <si>
    <t>총계</t>
  </si>
  <si>
    <t>CPM</t>
    <phoneticPr fontId="2" type="noConversion"/>
  </si>
  <si>
    <t>국제뉴스_일반_6문단 뒤_336x280_GTG</t>
    <phoneticPr fontId="2" type="noConversion"/>
  </si>
  <si>
    <t>국제뉴스_연예_본문 2번째_336x280_GTG</t>
    <phoneticPr fontId="2" type="noConversion"/>
  </si>
  <si>
    <t>일간스포츠_댓글 상단_336x280_GTG</t>
    <phoneticPr fontId="2" type="noConversion"/>
  </si>
  <si>
    <t>코인리더스_머니_본문 하단_336x280_GTG</t>
  </si>
  <si>
    <t>코인리더스_머니_본문 하단_336x280_GTG</t>
    <phoneticPr fontId="2" type="noConversion"/>
  </si>
  <si>
    <t>코인리더스_본문 4번째_336x280_GTG</t>
    <phoneticPr fontId="2" type="noConversion"/>
  </si>
  <si>
    <t>분당신문_본문 3번째_300x250_GTG</t>
    <phoneticPr fontId="2" type="noConversion"/>
  </si>
  <si>
    <t>세계비즈_금융_5문단 뒤_336x280_GTG</t>
    <phoneticPr fontId="2" type="noConversion"/>
  </si>
  <si>
    <t>이코노미스트_댓글 상단_300x250_GTG</t>
    <phoneticPr fontId="2" type="noConversion"/>
  </si>
  <si>
    <t>피앤피뉴스_3문단 뒤_300x250_01_GTG</t>
    <phoneticPr fontId="2" type="noConversion"/>
  </si>
  <si>
    <r>
      <t>[</t>
    </r>
    <r>
      <rPr>
        <b/>
        <sz val="9"/>
        <color rgb="FFFFFFFF"/>
        <rFont val="맑은 고딕"/>
        <family val="3"/>
        <charset val="129"/>
      </rPr>
      <t>엠플랜</t>
    </r>
    <r>
      <rPr>
        <b/>
        <sz val="9"/>
        <color rgb="FFFFFFFF"/>
        <rFont val="Calibri"/>
        <family val="2"/>
      </rPr>
      <t>] 2026</t>
    </r>
    <r>
      <rPr>
        <b/>
        <sz val="9"/>
        <color rgb="FFFFFFFF"/>
        <rFont val="맑은 고딕"/>
        <family val="3"/>
        <charset val="129"/>
      </rPr>
      <t>년</t>
    </r>
    <r>
      <rPr>
        <b/>
        <sz val="9"/>
        <color rgb="FFFFFFFF"/>
        <rFont val="Calibri"/>
        <family val="2"/>
      </rPr>
      <t xml:space="preserve"> 4</t>
    </r>
    <r>
      <rPr>
        <b/>
        <sz val="9"/>
        <color rgb="FFFFFFFF"/>
        <rFont val="맑은 고딕"/>
        <family val="3"/>
        <charset val="129"/>
      </rPr>
      <t>월</t>
    </r>
    <r>
      <rPr>
        <b/>
        <sz val="9"/>
        <color rgb="FFFFFFFF"/>
        <rFont val="Calibri"/>
        <family val="2"/>
      </rPr>
      <t xml:space="preserve"> </t>
    </r>
    <r>
      <rPr>
        <b/>
        <sz val="9"/>
        <color rgb="FFFFFFFF"/>
        <rFont val="맑은 고딕"/>
        <family val="3"/>
        <charset val="129"/>
      </rPr>
      <t>정산</t>
    </r>
    <phoneticPr fontId="2" type="noConversion"/>
  </si>
  <si>
    <r>
      <t>2026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Calibri"/>
        <family val="2"/>
      </rPr>
      <t xml:space="preserve"> 4</t>
    </r>
    <r>
      <rPr>
        <sz val="9"/>
        <color theme="1"/>
        <rFont val="돋움"/>
        <family val="3"/>
        <charset val="129"/>
      </rPr>
      <t>월</t>
    </r>
    <phoneticPr fontId="2" type="noConversion"/>
  </si>
  <si>
    <t>뉴스프리존_본문 중단_300x250_BE</t>
    <phoneticPr fontId="2" type="noConversion"/>
  </si>
  <si>
    <t>스탯티즈_상단_336x280_GTG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</si>
</sst>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rgb="FFFFFFFF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b/>
      <sz val="12"/>
      <color rgb="FFFF0000"/>
      <name val="Calibri"/>
      <family val="2"/>
    </font>
    <font>
      <b/>
      <sz val="9"/>
      <color rgb="FFFFFFFF"/>
      <name val="맑은 고딕"/>
      <family val="3"/>
      <charset val="129"/>
    </font>
    <font>
      <sz val="9"/>
      <color theme="1"/>
      <name val="Malgun Gothic Semilight"/>
      <family val="3"/>
      <charset val="129"/>
    </font>
    <font>
      <sz val="12"/>
      <color theme="1"/>
      <name val="맑은 고딕"/>
      <family val="2"/>
      <scheme val="minor"/>
    </font>
    <font>
      <sz val="9"/>
      <name val="맑은 고딕"/>
      <family val="3"/>
      <charset val="129"/>
    </font>
    <font>
      <sz val="9"/>
      <color theme="1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DCE6F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6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0" fillId="0" borderId="0"/>
    <xf numFmtId="41" fontId="3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wrapText="1"/>
    </xf>
    <xf numFmtId="3" fontId="23" fillId="0" borderId="10" xfId="0" applyNumberFormat="1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25" fillId="0" borderId="10" xfId="0" applyFont="1" applyBorder="1" applyAlignment="1">
      <alignment horizontal="center" wrapText="1"/>
    </xf>
    <xf numFmtId="0" fontId="24" fillId="0" borderId="10" xfId="0" applyFont="1" applyBorder="1" applyAlignment="1">
      <alignment horizontal="center" wrapText="1"/>
    </xf>
    <xf numFmtId="3" fontId="23" fillId="0" borderId="10" xfId="0" applyNumberFormat="1" applyFont="1" applyBorder="1" applyAlignment="1">
      <alignment horizontal="center" wrapText="1"/>
    </xf>
    <xf numFmtId="10" fontId="23" fillId="0" borderId="10" xfId="0" applyNumberFormat="1" applyFont="1" applyBorder="1" applyAlignment="1">
      <alignment horizontal="center" wrapText="1"/>
    </xf>
    <xf numFmtId="3" fontId="23" fillId="33" borderId="10" xfId="0" applyNumberFormat="1" applyFont="1" applyFill="1" applyBorder="1" applyAlignment="1">
      <alignment horizontal="center" wrapText="1"/>
    </xf>
    <xf numFmtId="0" fontId="24" fillId="33" borderId="10" xfId="0" applyFont="1" applyFill="1" applyBorder="1" applyAlignment="1">
      <alignment horizontal="center" wrapText="1"/>
    </xf>
    <xf numFmtId="3" fontId="27" fillId="0" borderId="10" xfId="0" applyNumberFormat="1" applyFont="1" applyBorder="1" applyAlignment="1">
      <alignment horizontal="right" wrapText="1"/>
    </xf>
    <xf numFmtId="41" fontId="0" fillId="0" borderId="0" xfId="42" applyFont="1">
      <alignment vertical="center"/>
    </xf>
    <xf numFmtId="3" fontId="23" fillId="0" borderId="10" xfId="0" applyNumberFormat="1" applyFont="1" applyBorder="1" applyAlignment="1">
      <alignment horizontal="right" vertical="center" wrapText="1"/>
    </xf>
    <xf numFmtId="10" fontId="23" fillId="0" borderId="10" xfId="45" applyNumberFormat="1" applyFont="1" applyBorder="1" applyAlignment="1">
      <alignment horizontal="center" wrapText="1"/>
    </xf>
    <xf numFmtId="0" fontId="25" fillId="33" borderId="10" xfId="0" applyFont="1" applyFill="1" applyBorder="1" applyAlignment="1">
      <alignment horizontal="center" wrapText="1"/>
    </xf>
    <xf numFmtId="176" fontId="23" fillId="0" borderId="10" xfId="45" applyNumberFormat="1" applyFont="1" applyBorder="1" applyAlignment="1">
      <alignment horizontal="center" wrapText="1"/>
    </xf>
    <xf numFmtId="176" fontId="23" fillId="0" borderId="10" xfId="0" applyNumberFormat="1" applyFont="1" applyBorder="1" applyAlignment="1">
      <alignment horizontal="center" wrapText="1"/>
    </xf>
    <xf numFmtId="0" fontId="31" fillId="0" borderId="13" xfId="0" applyFont="1" applyBorder="1" applyAlignment="1">
      <alignment horizontal="center" wrapText="1"/>
    </xf>
    <xf numFmtId="0" fontId="31" fillId="0" borderId="15" xfId="0" applyFont="1" applyBorder="1" applyAlignment="1">
      <alignment horizontal="center" wrapText="1"/>
    </xf>
    <xf numFmtId="0" fontId="31" fillId="0" borderId="14" xfId="0" applyFont="1" applyBorder="1" applyAlignment="1">
      <alignment horizont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3" fontId="23" fillId="0" borderId="13" xfId="0" applyNumberFormat="1" applyFont="1" applyBorder="1" applyAlignment="1">
      <alignment horizontal="center" vertical="center" wrapText="1"/>
    </xf>
    <xf numFmtId="3" fontId="23" fillId="0" borderId="14" xfId="0" applyNumberFormat="1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wrapText="1"/>
    </xf>
    <xf numFmtId="0" fontId="24" fillId="35" borderId="10" xfId="0" applyFont="1" applyFill="1" applyBorder="1" applyAlignment="1">
      <alignment horizontal="center" wrapText="1"/>
    </xf>
    <xf numFmtId="0" fontId="25" fillId="0" borderId="10" xfId="0" applyFont="1" applyBorder="1" applyAlignment="1">
      <alignment horizontal="center" wrapText="1"/>
    </xf>
    <xf numFmtId="0" fontId="25" fillId="33" borderId="10" xfId="0" applyFont="1" applyFill="1" applyBorder="1" applyAlignment="1">
      <alignment horizontal="center" wrapText="1"/>
    </xf>
    <xf numFmtId="0" fontId="26" fillId="33" borderId="10" xfId="0" applyFont="1" applyFill="1" applyBorder="1" applyAlignment="1">
      <alignment horizontal="center" wrapText="1"/>
    </xf>
    <xf numFmtId="0" fontId="22" fillId="0" borderId="11" xfId="0" applyFont="1" applyBorder="1" applyAlignment="1">
      <alignment wrapText="1"/>
    </xf>
    <xf numFmtId="0" fontId="22" fillId="0" borderId="0" xfId="0" applyFont="1" applyAlignment="1">
      <alignment wrapText="1"/>
    </xf>
    <xf numFmtId="0" fontId="22" fillId="0" borderId="12" xfId="0" applyFont="1" applyBorder="1" applyAlignment="1">
      <alignment wrapText="1"/>
    </xf>
    <xf numFmtId="0" fontId="20" fillId="33" borderId="10" xfId="0" applyFont="1" applyFill="1" applyBorder="1" applyAlignment="1">
      <alignment horizontal="center" wrapText="1"/>
    </xf>
    <xf numFmtId="3" fontId="27" fillId="0" borderId="13" xfId="0" applyNumberFormat="1" applyFont="1" applyBorder="1" applyAlignment="1">
      <alignment horizontal="center" wrapText="1"/>
    </xf>
    <xf numFmtId="3" fontId="27" fillId="0" borderId="14" xfId="0" applyNumberFormat="1" applyFont="1" applyBorder="1" applyAlignment="1">
      <alignment horizontal="center" wrapText="1"/>
    </xf>
    <xf numFmtId="0" fontId="29" fillId="0" borderId="13" xfId="0" applyFont="1" applyBorder="1" applyAlignment="1">
      <alignment horizontal="center" wrapText="1"/>
    </xf>
    <xf numFmtId="0" fontId="29" fillId="0" borderId="14" xfId="0" applyFont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0" fontId="20" fillId="33" borderId="14" xfId="0" applyFont="1" applyFill="1" applyBorder="1" applyAlignment="1">
      <alignment horizontal="center" wrapText="1"/>
    </xf>
    <xf numFmtId="0" fontId="23" fillId="0" borderId="16" xfId="0" applyFont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14" fontId="21" fillId="0" borderId="16" xfId="0" applyNumberFormat="1" applyFont="1" applyBorder="1" applyAlignment="1">
      <alignment vertical="center" wrapText="1"/>
    </xf>
    <xf numFmtId="14" fontId="21" fillId="0" borderId="19" xfId="0" applyNumberFormat="1" applyFont="1" applyBorder="1" applyAlignment="1">
      <alignment vertical="center" wrapText="1"/>
    </xf>
    <xf numFmtId="14" fontId="21" fillId="0" borderId="17" xfId="0" applyNumberFormat="1" applyFont="1" applyBorder="1" applyAlignment="1">
      <alignment vertical="center" wrapText="1"/>
    </xf>
    <xf numFmtId="14" fontId="21" fillId="0" borderId="18" xfId="0" applyNumberFormat="1" applyFont="1" applyBorder="1" applyAlignment="1">
      <alignment vertical="center" wrapText="1"/>
    </xf>
    <xf numFmtId="14" fontId="21" fillId="0" borderId="20" xfId="0" applyNumberFormat="1" applyFont="1" applyBorder="1" applyAlignment="1">
      <alignment vertical="center" wrapText="1"/>
    </xf>
    <xf numFmtId="14" fontId="21" fillId="0" borderId="21" xfId="0" applyNumberFormat="1" applyFont="1" applyBorder="1" applyAlignment="1">
      <alignment vertical="center" wrapText="1"/>
    </xf>
  </cellXfs>
  <cellStyles count="46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5" builtinId="5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 [0] 2" xfId="44" xr:uid="{00000000-0005-0000-0000-000021000000}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3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40"/>
  <sheetViews>
    <sheetView tabSelected="1" topLeftCell="A2" workbookViewId="0">
      <selection activeCell="N15" sqref="N15"/>
    </sheetView>
  </sheetViews>
  <sheetFormatPr defaultRowHeight="16.5" x14ac:dyDescent="0.3"/>
  <cols>
    <col min="2" max="2" width="11.375" bestFit="1" customWidth="1"/>
    <col min="3" max="3" width="8.625" bestFit="1" customWidth="1"/>
    <col min="4" max="4" width="7.25" bestFit="1" customWidth="1"/>
    <col min="5" max="5" width="17.125" customWidth="1"/>
    <col min="6" max="6" width="13.375" customWidth="1"/>
    <col min="7" max="7" width="10.5" bestFit="1" customWidth="1"/>
    <col min="8" max="8" width="9.5" bestFit="1" customWidth="1"/>
    <col min="10" max="10" width="10.25" customWidth="1"/>
    <col min="11" max="12" width="10.25" bestFit="1" customWidth="1"/>
  </cols>
  <sheetData>
    <row r="3" spans="2:16" ht="16.5" customHeight="1" x14ac:dyDescent="0.2">
      <c r="B3" s="24" t="s">
        <v>25</v>
      </c>
      <c r="C3" s="24"/>
      <c r="D3" s="24"/>
      <c r="E3" s="24"/>
      <c r="F3" s="24"/>
      <c r="G3" s="24"/>
      <c r="H3" s="24"/>
      <c r="I3" s="24"/>
      <c r="J3" s="24"/>
    </row>
    <row r="4" spans="2:16" x14ac:dyDescent="0.2">
      <c r="B4" s="25" t="s">
        <v>10</v>
      </c>
      <c r="C4" s="25"/>
      <c r="D4" s="25"/>
      <c r="E4" s="25"/>
      <c r="F4" s="25"/>
      <c r="G4" s="25"/>
      <c r="H4" s="25"/>
      <c r="I4" s="25"/>
      <c r="J4" s="25"/>
    </row>
    <row r="5" spans="2:16" x14ac:dyDescent="0.2">
      <c r="B5" s="4" t="s">
        <v>2</v>
      </c>
      <c r="C5" s="26" t="s">
        <v>3</v>
      </c>
      <c r="D5" s="26"/>
      <c r="E5" s="26"/>
      <c r="F5" s="4" t="s">
        <v>4</v>
      </c>
      <c r="G5" s="4" t="s">
        <v>5</v>
      </c>
      <c r="H5" s="4" t="s">
        <v>0</v>
      </c>
      <c r="I5" s="4" t="s">
        <v>14</v>
      </c>
      <c r="J5" s="5" t="s">
        <v>11</v>
      </c>
      <c r="L5" s="3"/>
      <c r="M5" s="3"/>
      <c r="N5" s="3"/>
      <c r="O5" s="3"/>
      <c r="P5" s="3"/>
    </row>
    <row r="6" spans="2:16" x14ac:dyDescent="0.2">
      <c r="B6" s="39" t="s">
        <v>26</v>
      </c>
      <c r="C6" s="17" t="s">
        <v>16</v>
      </c>
      <c r="D6" s="18"/>
      <c r="E6" s="19"/>
      <c r="F6" s="6">
        <v>2086130</v>
      </c>
      <c r="G6" s="6">
        <v>164177</v>
      </c>
      <c r="H6" s="13">
        <v>7.9000000000000001E-2</v>
      </c>
      <c r="I6" s="15">
        <v>800</v>
      </c>
      <c r="J6" s="2">
        <v>1668903</v>
      </c>
      <c r="K6" s="3"/>
      <c r="L6" s="3"/>
      <c r="M6" s="3"/>
    </row>
    <row r="7" spans="2:16" x14ac:dyDescent="0.2">
      <c r="B7" s="39"/>
      <c r="C7" s="17" t="s">
        <v>15</v>
      </c>
      <c r="D7" s="18"/>
      <c r="E7" s="19"/>
      <c r="F7" s="6">
        <v>260454</v>
      </c>
      <c r="G7" s="6">
        <v>13231</v>
      </c>
      <c r="H7" s="7">
        <v>0.05</v>
      </c>
      <c r="I7" s="16">
        <v>600</v>
      </c>
      <c r="J7" s="2">
        <v>156273</v>
      </c>
      <c r="K7" s="3"/>
    </row>
    <row r="8" spans="2:16" x14ac:dyDescent="0.2">
      <c r="B8" s="39"/>
      <c r="C8" s="17" t="s">
        <v>27</v>
      </c>
      <c r="D8" s="18"/>
      <c r="E8" s="19"/>
      <c r="F8" s="6">
        <v>74105</v>
      </c>
      <c r="G8" s="6">
        <v>2845</v>
      </c>
      <c r="H8" s="7">
        <v>3.7999999999999999E-2</v>
      </c>
      <c r="I8" s="16">
        <v>500</v>
      </c>
      <c r="J8" s="2">
        <v>37055</v>
      </c>
      <c r="K8" s="3"/>
    </row>
    <row r="9" spans="2:16" x14ac:dyDescent="0.2">
      <c r="B9" s="39"/>
      <c r="C9" s="17" t="s">
        <v>21</v>
      </c>
      <c r="D9" s="18"/>
      <c r="E9" s="19"/>
      <c r="F9" s="6">
        <v>21164</v>
      </c>
      <c r="G9" s="6">
        <v>834</v>
      </c>
      <c r="H9" s="7">
        <v>3.5999999999999997E-2</v>
      </c>
      <c r="I9" s="16">
        <v>500</v>
      </c>
      <c r="J9" s="2">
        <v>10589</v>
      </c>
      <c r="K9" s="3"/>
    </row>
    <row r="10" spans="2:16" x14ac:dyDescent="0.2">
      <c r="B10" s="39"/>
      <c r="C10" s="17" t="s">
        <v>22</v>
      </c>
      <c r="D10" s="18"/>
      <c r="E10" s="19"/>
      <c r="F10" s="6">
        <v>37481</v>
      </c>
      <c r="G10" s="6">
        <v>1624</v>
      </c>
      <c r="H10" s="7">
        <v>4.2000000000000003E-2</v>
      </c>
      <c r="I10" s="16">
        <v>500</v>
      </c>
      <c r="J10" s="2">
        <v>18749</v>
      </c>
      <c r="K10" s="3"/>
    </row>
    <row r="11" spans="2:16" x14ac:dyDescent="0.2">
      <c r="B11" s="39"/>
      <c r="C11" s="17" t="s">
        <v>28</v>
      </c>
      <c r="D11" s="18"/>
      <c r="E11" s="19"/>
      <c r="F11" s="6">
        <v>760156</v>
      </c>
      <c r="G11" s="6">
        <v>7906</v>
      </c>
      <c r="H11" s="7">
        <v>0.1</v>
      </c>
      <c r="I11" s="16">
        <v>300</v>
      </c>
      <c r="J11" s="2">
        <v>228047</v>
      </c>
      <c r="K11" s="3"/>
    </row>
    <row r="12" spans="2:16" x14ac:dyDescent="0.2">
      <c r="B12" s="39"/>
      <c r="C12" s="17" t="s">
        <v>23</v>
      </c>
      <c r="D12" s="18"/>
      <c r="E12" s="19"/>
      <c r="F12" s="6">
        <v>174644</v>
      </c>
      <c r="G12" s="6">
        <v>327</v>
      </c>
      <c r="H12" s="7">
        <v>2E-3</v>
      </c>
      <c r="I12" s="16">
        <v>500</v>
      </c>
      <c r="J12" s="2">
        <v>87326</v>
      </c>
      <c r="K12" s="3"/>
    </row>
    <row r="13" spans="2:16" x14ac:dyDescent="0.2">
      <c r="B13" s="39"/>
      <c r="C13" s="17" t="s">
        <v>17</v>
      </c>
      <c r="D13" s="18"/>
      <c r="E13" s="19"/>
      <c r="F13" s="6">
        <v>220359</v>
      </c>
      <c r="G13" s="6">
        <v>6220</v>
      </c>
      <c r="H13" s="7">
        <v>2.8000000000000001E-2</v>
      </c>
      <c r="I13" s="16">
        <v>500</v>
      </c>
      <c r="J13" s="2">
        <v>110184</v>
      </c>
      <c r="K13" s="3"/>
    </row>
    <row r="14" spans="2:16" x14ac:dyDescent="0.2">
      <c r="B14" s="39"/>
      <c r="C14" s="17" t="s">
        <v>20</v>
      </c>
      <c r="D14" s="18"/>
      <c r="E14" s="19"/>
      <c r="F14" s="6">
        <v>1756190</v>
      </c>
      <c r="G14" s="6">
        <v>63931</v>
      </c>
      <c r="H14" s="7">
        <v>3.5999999999999997E-2</v>
      </c>
      <c r="I14" s="16">
        <v>800</v>
      </c>
      <c r="J14" s="2">
        <v>1404951</v>
      </c>
      <c r="K14" s="3"/>
    </row>
    <row r="15" spans="2:16" x14ac:dyDescent="0.2">
      <c r="B15" s="39"/>
      <c r="C15" s="17" t="s">
        <v>19</v>
      </c>
      <c r="D15" s="18"/>
      <c r="E15" s="19"/>
      <c r="F15" s="6">
        <v>40156</v>
      </c>
      <c r="G15" s="6">
        <v>177</v>
      </c>
      <c r="H15" s="7">
        <v>4.0000000000000001E-3</v>
      </c>
      <c r="I15" s="16">
        <v>500</v>
      </c>
      <c r="J15" s="2">
        <v>20079</v>
      </c>
      <c r="K15" s="3"/>
    </row>
    <row r="16" spans="2:16" x14ac:dyDescent="0.2">
      <c r="B16" s="40"/>
      <c r="C16" s="17" t="s">
        <v>24</v>
      </c>
      <c r="D16" s="18"/>
      <c r="E16" s="19"/>
      <c r="F16" s="6">
        <v>22777</v>
      </c>
      <c r="G16" s="6">
        <v>747</v>
      </c>
      <c r="H16" s="7">
        <v>3.3000000000000002E-2</v>
      </c>
      <c r="I16" s="16">
        <v>500</v>
      </c>
      <c r="J16" s="2">
        <v>11397</v>
      </c>
      <c r="K16" s="3"/>
    </row>
    <row r="17" spans="2:12" x14ac:dyDescent="0.2">
      <c r="B17" s="27" t="s">
        <v>1</v>
      </c>
      <c r="C17" s="27"/>
      <c r="D17" s="27"/>
      <c r="E17" s="27"/>
      <c r="F17" s="27"/>
      <c r="G17" s="27"/>
      <c r="H17" s="27"/>
      <c r="I17" s="14"/>
      <c r="J17" s="8">
        <v>3753568</v>
      </c>
      <c r="K17" s="3"/>
      <c r="L17" s="3"/>
    </row>
    <row r="18" spans="2:12" x14ac:dyDescent="0.2">
      <c r="B18" s="29"/>
      <c r="C18" s="30"/>
      <c r="D18" s="30"/>
      <c r="E18" s="30"/>
      <c r="F18" s="30"/>
      <c r="G18" s="30"/>
      <c r="H18" s="30"/>
      <c r="I18" s="30"/>
      <c r="J18" s="31"/>
    </row>
    <row r="19" spans="2:12" ht="16.5" customHeight="1" x14ac:dyDescent="0.2">
      <c r="B19" s="1" t="s">
        <v>8</v>
      </c>
      <c r="C19" s="32" t="s">
        <v>9</v>
      </c>
      <c r="D19" s="32"/>
      <c r="E19" s="27" t="s">
        <v>7</v>
      </c>
      <c r="F19" s="27"/>
      <c r="G19" s="9" t="s">
        <v>12</v>
      </c>
      <c r="H19" s="1" t="s">
        <v>6</v>
      </c>
      <c r="I19" s="37" t="s">
        <v>1</v>
      </c>
      <c r="J19" s="38"/>
    </row>
    <row r="20" spans="2:12" x14ac:dyDescent="0.3">
      <c r="B20" s="41">
        <v>46142</v>
      </c>
      <c r="C20" s="43">
        <v>46203</v>
      </c>
      <c r="D20" s="44"/>
      <c r="E20" s="20" t="s">
        <v>16</v>
      </c>
      <c r="F20" s="21"/>
      <c r="G20" s="12">
        <f t="shared" ref="G20:G30" si="0">J6</f>
        <v>1668903</v>
      </c>
      <c r="H20" s="12">
        <f t="shared" ref="H20" si="1">G20*0.1</f>
        <v>166890.30000000002</v>
      </c>
      <c r="I20" s="22">
        <f t="shared" ref="I20" si="2">G20+H20</f>
        <v>1835793.3</v>
      </c>
      <c r="J20" s="23"/>
      <c r="L20" s="3"/>
    </row>
    <row r="21" spans="2:12" ht="16.5" customHeight="1" x14ac:dyDescent="0.3">
      <c r="B21" s="41"/>
      <c r="C21" s="43"/>
      <c r="D21" s="44"/>
      <c r="E21" s="20" t="s">
        <v>15</v>
      </c>
      <c r="F21" s="21"/>
      <c r="G21" s="12">
        <f t="shared" si="0"/>
        <v>156273</v>
      </c>
      <c r="H21" s="12">
        <f>G21*0.1</f>
        <v>15627.300000000001</v>
      </c>
      <c r="I21" s="22">
        <f t="shared" ref="I21:I22" si="3">G21+H21</f>
        <v>171900.3</v>
      </c>
      <c r="J21" s="23"/>
    </row>
    <row r="22" spans="2:12" ht="16.5" customHeight="1" x14ac:dyDescent="0.3">
      <c r="B22" s="41"/>
      <c r="C22" s="43"/>
      <c r="D22" s="44"/>
      <c r="E22" s="20" t="s">
        <v>27</v>
      </c>
      <c r="F22" s="21"/>
      <c r="G22" s="12">
        <f t="shared" si="0"/>
        <v>37055</v>
      </c>
      <c r="H22" s="12">
        <f>G22*0.1</f>
        <v>3705.5</v>
      </c>
      <c r="I22" s="22">
        <f t="shared" si="3"/>
        <v>40760.5</v>
      </c>
      <c r="J22" s="23"/>
    </row>
    <row r="23" spans="2:12" ht="16.5" customHeight="1" x14ac:dyDescent="0.3">
      <c r="B23" s="41"/>
      <c r="C23" s="43"/>
      <c r="D23" s="44"/>
      <c r="E23" s="20" t="s">
        <v>21</v>
      </c>
      <c r="F23" s="21"/>
      <c r="G23" s="12">
        <f t="shared" si="0"/>
        <v>10589</v>
      </c>
      <c r="H23" s="12">
        <f>G23*0.1</f>
        <v>1058.9000000000001</v>
      </c>
      <c r="I23" s="22">
        <f t="shared" ref="I23" si="4">G23+H23</f>
        <v>11647.9</v>
      </c>
      <c r="J23" s="23"/>
    </row>
    <row r="24" spans="2:12" ht="16.5" customHeight="1" x14ac:dyDescent="0.3">
      <c r="B24" s="41"/>
      <c r="C24" s="43"/>
      <c r="D24" s="44"/>
      <c r="E24" s="20" t="s">
        <v>22</v>
      </c>
      <c r="F24" s="21"/>
      <c r="G24" s="12">
        <f t="shared" si="0"/>
        <v>18749</v>
      </c>
      <c r="H24" s="12">
        <f t="shared" ref="H24" si="5">G24*0.1</f>
        <v>1874.9</v>
      </c>
      <c r="I24" s="22">
        <f t="shared" ref="I24" si="6">G24+H24</f>
        <v>20623.900000000001</v>
      </c>
      <c r="J24" s="23"/>
    </row>
    <row r="25" spans="2:12" ht="16.5" customHeight="1" x14ac:dyDescent="0.3">
      <c r="B25" s="41"/>
      <c r="C25" s="43"/>
      <c r="D25" s="44"/>
      <c r="E25" s="20" t="s">
        <v>28</v>
      </c>
      <c r="F25" s="21"/>
      <c r="G25" s="12">
        <f t="shared" si="0"/>
        <v>228047</v>
      </c>
      <c r="H25" s="12">
        <f>G25*0.1</f>
        <v>22804.7</v>
      </c>
      <c r="I25" s="22">
        <f t="shared" ref="I25:I28" si="7">G25+H25</f>
        <v>250851.7</v>
      </c>
      <c r="J25" s="23"/>
    </row>
    <row r="26" spans="2:12" ht="16.5" customHeight="1" x14ac:dyDescent="0.3">
      <c r="B26" s="41"/>
      <c r="C26" s="43"/>
      <c r="D26" s="44"/>
      <c r="E26" s="20" t="s">
        <v>23</v>
      </c>
      <c r="F26" s="21"/>
      <c r="G26" s="12">
        <f t="shared" si="0"/>
        <v>87326</v>
      </c>
      <c r="H26" s="12">
        <f>G26*0.1</f>
        <v>8732.6</v>
      </c>
      <c r="I26" s="22">
        <f t="shared" si="7"/>
        <v>96058.6</v>
      </c>
      <c r="J26" s="23"/>
    </row>
    <row r="27" spans="2:12" ht="16.5" customHeight="1" x14ac:dyDescent="0.3">
      <c r="B27" s="41"/>
      <c r="C27" s="43"/>
      <c r="D27" s="44"/>
      <c r="E27" s="20" t="s">
        <v>17</v>
      </c>
      <c r="F27" s="21"/>
      <c r="G27" s="12">
        <f t="shared" si="0"/>
        <v>110184</v>
      </c>
      <c r="H27" s="12">
        <f>G27*0.1</f>
        <v>11018.400000000001</v>
      </c>
      <c r="I27" s="22">
        <f t="shared" si="7"/>
        <v>121202.4</v>
      </c>
      <c r="J27" s="23"/>
    </row>
    <row r="28" spans="2:12" x14ac:dyDescent="0.2">
      <c r="B28" s="41"/>
      <c r="C28" s="43"/>
      <c r="D28" s="44"/>
      <c r="E28" s="35" t="s">
        <v>20</v>
      </c>
      <c r="F28" s="36"/>
      <c r="G28" s="12">
        <f t="shared" si="0"/>
        <v>1404951</v>
      </c>
      <c r="H28" s="12">
        <f t="shared" ref="H28" si="8">G28*0.1</f>
        <v>140495.1</v>
      </c>
      <c r="I28" s="22">
        <f t="shared" si="7"/>
        <v>1545446.1</v>
      </c>
      <c r="J28" s="23"/>
    </row>
    <row r="29" spans="2:12" x14ac:dyDescent="0.2">
      <c r="B29" s="41"/>
      <c r="C29" s="43"/>
      <c r="D29" s="44"/>
      <c r="E29" s="35" t="s">
        <v>18</v>
      </c>
      <c r="F29" s="36"/>
      <c r="G29" s="12">
        <f t="shared" si="0"/>
        <v>20079</v>
      </c>
      <c r="H29" s="12">
        <f t="shared" ref="H29" si="9">G29*0.1</f>
        <v>2007.9</v>
      </c>
      <c r="I29" s="22">
        <f t="shared" ref="I29" si="10">G29+H29</f>
        <v>22086.9</v>
      </c>
      <c r="J29" s="23"/>
    </row>
    <row r="30" spans="2:12" ht="16.5" customHeight="1" x14ac:dyDescent="0.3">
      <c r="B30" s="42"/>
      <c r="C30" s="45"/>
      <c r="D30" s="46"/>
      <c r="E30" s="20" t="s">
        <v>24</v>
      </c>
      <c r="F30" s="21"/>
      <c r="G30" s="12">
        <f t="shared" si="0"/>
        <v>11397</v>
      </c>
      <c r="H30" s="12">
        <f t="shared" ref="H30" si="11">G30*0.1</f>
        <v>1139.7</v>
      </c>
      <c r="I30" s="22">
        <f t="shared" ref="I30" si="12">G30+H30</f>
        <v>12536.7</v>
      </c>
      <c r="J30" s="23"/>
    </row>
    <row r="31" spans="2:12" x14ac:dyDescent="0.25">
      <c r="B31" s="28" t="s">
        <v>13</v>
      </c>
      <c r="C31" s="28"/>
      <c r="D31" s="28"/>
      <c r="E31" s="28"/>
      <c r="F31" s="28"/>
      <c r="G31" s="10">
        <v>3753568</v>
      </c>
      <c r="H31" s="10">
        <f>G31*0.1</f>
        <v>375356.80000000005</v>
      </c>
      <c r="I31" s="33">
        <f>H31+G31</f>
        <v>4128924.8</v>
      </c>
      <c r="J31" s="34"/>
    </row>
    <row r="32" spans="2:12" x14ac:dyDescent="0.3">
      <c r="J32" s="3"/>
    </row>
    <row r="34" spans="7:10" x14ac:dyDescent="0.3">
      <c r="G34" s="3"/>
    </row>
    <row r="36" spans="7:10" x14ac:dyDescent="0.3">
      <c r="G36" s="11"/>
      <c r="H36" s="11"/>
      <c r="I36" s="11"/>
      <c r="J36" s="11"/>
    </row>
    <row r="37" spans="7:10" x14ac:dyDescent="0.3">
      <c r="G37" s="11"/>
      <c r="H37" s="11"/>
      <c r="I37" s="11"/>
      <c r="J37" s="11"/>
    </row>
    <row r="38" spans="7:10" x14ac:dyDescent="0.3">
      <c r="G38" s="11"/>
      <c r="H38" s="11"/>
      <c r="I38" s="11"/>
      <c r="J38" s="11"/>
    </row>
    <row r="40" spans="7:10" x14ac:dyDescent="0.3">
      <c r="G40" s="3"/>
    </row>
  </sheetData>
  <mergeCells count="43">
    <mergeCell ref="B31:F31"/>
    <mergeCell ref="B18:J18"/>
    <mergeCell ref="C19:D19"/>
    <mergeCell ref="E19:F19"/>
    <mergeCell ref="E25:F25"/>
    <mergeCell ref="I31:J31"/>
    <mergeCell ref="I25:J25"/>
    <mergeCell ref="E29:F29"/>
    <mergeCell ref="I29:J29"/>
    <mergeCell ref="E27:F27"/>
    <mergeCell ref="I27:J27"/>
    <mergeCell ref="E30:F30"/>
    <mergeCell ref="I30:J30"/>
    <mergeCell ref="E28:F28"/>
    <mergeCell ref="I28:J28"/>
    <mergeCell ref="E24:F24"/>
    <mergeCell ref="I24:J24"/>
    <mergeCell ref="E21:F21"/>
    <mergeCell ref="I21:J21"/>
    <mergeCell ref="B3:J3"/>
    <mergeCell ref="B4:J4"/>
    <mergeCell ref="C5:E5"/>
    <mergeCell ref="C6:E6"/>
    <mergeCell ref="E20:F20"/>
    <mergeCell ref="I20:J20"/>
    <mergeCell ref="C7:E7"/>
    <mergeCell ref="C10:E10"/>
    <mergeCell ref="C12:E12"/>
    <mergeCell ref="B17:H17"/>
    <mergeCell ref="C11:E11"/>
    <mergeCell ref="C8:E8"/>
    <mergeCell ref="E22:F22"/>
    <mergeCell ref="I22:J22"/>
    <mergeCell ref="C9:E9"/>
    <mergeCell ref="E23:F23"/>
    <mergeCell ref="I23:J23"/>
    <mergeCell ref="C13:E13"/>
    <mergeCell ref="C14:E14"/>
    <mergeCell ref="C15:E15"/>
    <mergeCell ref="E26:F26"/>
    <mergeCell ref="I26:J26"/>
    <mergeCell ref="C16:E16"/>
    <mergeCell ref="I19:J1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매체 정산서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김재호</dc:creator>
  <cp:lastModifiedBy>jaeho kim</cp:lastModifiedBy>
  <cp:lastPrinted>2023-10-02T01:40:07Z</cp:lastPrinted>
  <dcterms:created xsi:type="dcterms:W3CDTF">2023-05-08T05:00:26Z</dcterms:created>
  <dcterms:modified xsi:type="dcterms:W3CDTF">2026-05-20T02:14:24Z</dcterms:modified>
</cp:coreProperties>
</file>