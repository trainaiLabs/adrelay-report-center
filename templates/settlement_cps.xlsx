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법인 케이엘미디어\사업진행건\쿠팡\진행중인매체\금한돈\정산서\2026\"/>
    </mc:Choice>
  </mc:AlternateContent>
  <xr:revisionPtr revIDLastSave="0" documentId="13_ncr:1_{E9366BFD-6BD3-423B-89F2-5C28470B2D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매체 정산서" sheetId="1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7" l="1"/>
  <c r="K7" i="17" s="1"/>
  <c r="G10" i="17" l="1"/>
  <c r="I10" i="17" s="1"/>
  <c r="J10" i="17" l="1"/>
  <c r="I11" i="17"/>
  <c r="G11" i="17"/>
  <c r="J11" i="17" l="1"/>
</calcChain>
</file>

<file path=xl/sharedStrings.xml><?xml version="1.0" encoding="utf-8"?>
<sst xmlns="http://schemas.openxmlformats.org/spreadsheetml/2006/main" count="21" uniqueCount="19">
  <si>
    <t>CTR</t>
  </si>
  <si>
    <t>합계</t>
  </si>
  <si>
    <t>기간</t>
  </si>
  <si>
    <t>매체명</t>
  </si>
  <si>
    <t>노출수</t>
  </si>
  <si>
    <t>클릭수</t>
  </si>
  <si>
    <t>세액</t>
  </si>
  <si>
    <t>구분</t>
  </si>
  <si>
    <t>발행일자</t>
  </si>
  <si>
    <t>지급예정일</t>
  </si>
  <si>
    <t>금액</t>
  </si>
  <si>
    <t>순매체비</t>
  </si>
  <si>
    <t>총계</t>
  </si>
  <si>
    <t>금한돈_쇼핑채굴</t>
    <phoneticPr fontId="2" type="noConversion"/>
  </si>
  <si>
    <t>CPS</t>
    <phoneticPr fontId="2" type="noConversion"/>
  </si>
  <si>
    <t>최종구매금액</t>
    <phoneticPr fontId="2" type="noConversion"/>
  </si>
  <si>
    <t>금한돈</t>
    <phoneticPr fontId="2" type="noConversion"/>
  </si>
  <si>
    <r>
      <t>[</t>
    </r>
    <r>
      <rPr>
        <b/>
        <sz val="9"/>
        <color rgb="FFFFFFFF"/>
        <rFont val="맑은 고딕"/>
        <family val="3"/>
        <charset val="129"/>
      </rPr>
      <t>금한돈</t>
    </r>
    <r>
      <rPr>
        <b/>
        <sz val="9"/>
        <color rgb="FFFFFFFF"/>
        <rFont val="Calibri"/>
        <family val="2"/>
      </rPr>
      <t>] 2026</t>
    </r>
    <r>
      <rPr>
        <b/>
        <sz val="9"/>
        <color rgb="FFFFFFFF"/>
        <rFont val="맑은 고딕"/>
        <family val="3"/>
        <charset val="129"/>
      </rPr>
      <t>년</t>
    </r>
    <r>
      <rPr>
        <b/>
        <sz val="9"/>
        <color rgb="FFFFFFFF"/>
        <rFont val="Calibri"/>
        <family val="2"/>
      </rPr>
      <t xml:space="preserve"> 3</t>
    </r>
    <r>
      <rPr>
        <b/>
        <sz val="9"/>
        <color rgb="FFFFFFFF"/>
        <rFont val="맑은 고딕"/>
        <family val="3"/>
        <charset val="129"/>
      </rPr>
      <t>월</t>
    </r>
    <r>
      <rPr>
        <b/>
        <sz val="9"/>
        <color rgb="FFFFFFFF"/>
        <rFont val="Calibri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정산</t>
    </r>
    <phoneticPr fontId="2" type="noConversion"/>
  </si>
  <si>
    <r>
      <t>2026</t>
    </r>
    <r>
      <rPr>
        <sz val="9"/>
        <color theme="1"/>
        <rFont val="맑은 고딕"/>
        <family val="3"/>
        <charset val="129"/>
      </rPr>
      <t>년</t>
    </r>
    <r>
      <rPr>
        <sz val="9"/>
        <color theme="1"/>
        <rFont val="Calibri"/>
        <family val="2"/>
      </rPr>
      <t xml:space="preserve"> 3</t>
    </r>
    <r>
      <rPr>
        <sz val="9"/>
        <color theme="1"/>
        <rFont val="맑은 고딕"/>
        <family val="3"/>
        <charset val="129"/>
      </rPr>
      <t>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</si>
</sst>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FFFFFF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b/>
      <sz val="12"/>
      <color rgb="FFFF0000"/>
      <name val="Calibri"/>
      <family val="2"/>
    </font>
    <font>
      <b/>
      <sz val="9"/>
      <color rgb="FFFFFF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color theme="1"/>
      <name val="Malgun Gothic Semilight"/>
      <family val="3"/>
      <charset val="129"/>
    </font>
    <font>
      <sz val="12"/>
      <color theme="1"/>
      <name val="맑은 고딕"/>
      <family val="2"/>
      <scheme val="minor"/>
    </font>
    <font>
      <sz val="9"/>
      <color theme="1"/>
      <name val="돋움"/>
      <family val="3"/>
      <charset val="129"/>
    </font>
    <font>
      <b/>
      <sz val="9"/>
      <color theme="1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CE6F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6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2" fillId="0" borderId="0"/>
    <xf numFmtId="41" fontId="3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3" fontId="23" fillId="0" borderId="10" xfId="0" applyNumberFormat="1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25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3" fontId="23" fillId="0" borderId="10" xfId="0" applyNumberFormat="1" applyFont="1" applyBorder="1" applyAlignment="1">
      <alignment horizontal="center" wrapText="1"/>
    </xf>
    <xf numFmtId="3" fontId="23" fillId="33" borderId="10" xfId="0" applyNumberFormat="1" applyFont="1" applyFill="1" applyBorder="1" applyAlignment="1">
      <alignment horizontal="center" wrapText="1"/>
    </xf>
    <xf numFmtId="3" fontId="27" fillId="0" borderId="10" xfId="0" applyNumberFormat="1" applyFont="1" applyBorder="1" applyAlignment="1">
      <alignment horizontal="right" wrapText="1"/>
    </xf>
    <xf numFmtId="41" fontId="0" fillId="0" borderId="0" xfId="42" applyFont="1">
      <alignment vertical="center"/>
    </xf>
    <xf numFmtId="14" fontId="21" fillId="0" borderId="18" xfId="0" applyNumberFormat="1" applyFont="1" applyBorder="1" applyAlignment="1">
      <alignment horizontal="center" vertical="center" wrapText="1"/>
    </xf>
    <xf numFmtId="3" fontId="23" fillId="0" borderId="10" xfId="0" applyNumberFormat="1" applyFont="1" applyBorder="1" applyAlignment="1">
      <alignment horizontal="right" vertical="center" wrapText="1"/>
    </xf>
    <xf numFmtId="10" fontId="23" fillId="0" borderId="10" xfId="45" applyNumberFormat="1" applyFont="1" applyBorder="1" applyAlignment="1">
      <alignment horizontal="center" wrapText="1"/>
    </xf>
    <xf numFmtId="0" fontId="25" fillId="33" borderId="10" xfId="0" applyFont="1" applyFill="1" applyBorder="1" applyAlignment="1">
      <alignment horizontal="center" wrapText="1"/>
    </xf>
    <xf numFmtId="0" fontId="33" fillId="0" borderId="10" xfId="0" applyFont="1" applyBorder="1" applyAlignment="1">
      <alignment horizontal="center" wrapText="1"/>
    </xf>
    <xf numFmtId="176" fontId="23" fillId="0" borderId="10" xfId="45" applyNumberFormat="1" applyFont="1" applyBorder="1" applyAlignment="1">
      <alignment horizontal="center" wrapText="1"/>
    </xf>
    <xf numFmtId="0" fontId="25" fillId="33" borderId="10" xfId="0" applyFont="1" applyFill="1" applyBorder="1" applyAlignment="1">
      <alignment horizontal="center" wrapText="1"/>
    </xf>
    <xf numFmtId="0" fontId="19" fillId="34" borderId="10" xfId="0" applyFont="1" applyFill="1" applyBorder="1" applyAlignment="1">
      <alignment horizontal="center" wrapText="1"/>
    </xf>
    <xf numFmtId="0" fontId="34" fillId="35" borderId="10" xfId="0" applyFont="1" applyFill="1" applyBorder="1" applyAlignment="1">
      <alignment horizontal="center" wrapText="1"/>
    </xf>
    <xf numFmtId="0" fontId="24" fillId="35" borderId="10" xfId="0" applyFont="1" applyFill="1" applyBorder="1" applyAlignment="1">
      <alignment horizontal="center" wrapText="1"/>
    </xf>
    <xf numFmtId="0" fontId="25" fillId="0" borderId="10" xfId="0" applyFont="1" applyBorder="1" applyAlignment="1">
      <alignment horizontal="center" wrapText="1"/>
    </xf>
    <xf numFmtId="0" fontId="30" fillId="0" borderId="13" xfId="0" applyFont="1" applyBorder="1" applyAlignment="1">
      <alignment horizontal="center" wrapText="1"/>
    </xf>
    <xf numFmtId="0" fontId="30" fillId="0" borderId="15" xfId="0" applyFont="1" applyBorder="1" applyAlignment="1">
      <alignment horizontal="center" wrapText="1"/>
    </xf>
    <xf numFmtId="0" fontId="30" fillId="0" borderId="14" xfId="0" applyFont="1" applyBorder="1" applyAlignment="1">
      <alignment horizontal="center" wrapText="1"/>
    </xf>
    <xf numFmtId="0" fontId="26" fillId="33" borderId="10" xfId="0" applyFont="1" applyFill="1" applyBorder="1" applyAlignment="1">
      <alignment horizontal="center" wrapText="1"/>
    </xf>
    <xf numFmtId="0" fontId="22" fillId="0" borderId="11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12" xfId="0" applyFont="1" applyBorder="1" applyAlignment="1">
      <alignment wrapText="1"/>
    </xf>
    <xf numFmtId="0" fontId="20" fillId="33" borderId="10" xfId="0" applyFont="1" applyFill="1" applyBorder="1" applyAlignment="1">
      <alignment horizont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14" fontId="21" fillId="0" borderId="16" xfId="0" applyNumberFormat="1" applyFont="1" applyBorder="1" applyAlignment="1">
      <alignment horizontal="center" vertical="center" wrapText="1"/>
    </xf>
    <xf numFmtId="14" fontId="21" fillId="0" borderId="17" xfId="0" applyNumberFormat="1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wrapText="1"/>
    </xf>
    <xf numFmtId="0" fontId="20" fillId="33" borderId="14" xfId="0" applyFont="1" applyFill="1" applyBorder="1" applyAlignment="1">
      <alignment horizontal="center" wrapText="1"/>
    </xf>
    <xf numFmtId="3" fontId="23" fillId="0" borderId="13" xfId="0" applyNumberFormat="1" applyFont="1" applyBorder="1" applyAlignment="1">
      <alignment horizontal="center" vertical="center" wrapText="1"/>
    </xf>
    <xf numFmtId="3" fontId="23" fillId="0" borderId="14" xfId="0" applyNumberFormat="1" applyFont="1" applyBorder="1" applyAlignment="1">
      <alignment horizontal="center" vertical="center" wrapText="1"/>
    </xf>
    <xf numFmtId="3" fontId="27" fillId="0" borderId="13" xfId="0" applyNumberFormat="1" applyFont="1" applyBorder="1" applyAlignment="1">
      <alignment horizontal="center" wrapText="1"/>
    </xf>
    <xf numFmtId="3" fontId="27" fillId="0" borderId="14" xfId="0" applyNumberFormat="1" applyFont="1" applyBorder="1" applyAlignment="1">
      <alignment horizontal="center" wrapText="1"/>
    </xf>
    <xf numFmtId="0" fontId="24" fillId="33" borderId="13" xfId="0" applyFont="1" applyFill="1" applyBorder="1" applyAlignment="1">
      <alignment horizontal="center" wrapText="1"/>
    </xf>
    <xf numFmtId="0" fontId="24" fillId="33" borderId="14" xfId="0" applyFont="1" applyFill="1" applyBorder="1" applyAlignment="1">
      <alignment horizontal="center" wrapText="1"/>
    </xf>
  </cellXfs>
  <cellStyles count="46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5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 [0] 2" xfId="44" xr:uid="{00000000-0005-0000-0000-00002100000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0"/>
  <sheetViews>
    <sheetView tabSelected="1" workbookViewId="0">
      <selection activeCell="B8" sqref="B8:K8"/>
    </sheetView>
  </sheetViews>
  <sheetFormatPr defaultRowHeight="16.5"/>
  <cols>
    <col min="2" max="2" width="11.375" bestFit="1" customWidth="1"/>
    <col min="3" max="3" width="8.625" bestFit="1" customWidth="1"/>
    <col min="4" max="4" width="7.25" bestFit="1" customWidth="1"/>
    <col min="5" max="5" width="8.625" bestFit="1" customWidth="1"/>
    <col min="7" max="7" width="9.5" bestFit="1" customWidth="1"/>
    <col min="9" max="9" width="11.875" customWidth="1"/>
    <col min="11" max="11" width="10.25" customWidth="1"/>
    <col min="13" max="13" width="9.375" bestFit="1" customWidth="1"/>
    <col min="14" max="14" width="9.125" bestFit="1" customWidth="1"/>
  </cols>
  <sheetData>
    <row r="3" spans="2:11" ht="16.5" customHeight="1">
      <c r="B3" s="18" t="s">
        <v>17</v>
      </c>
      <c r="C3" s="18"/>
      <c r="D3" s="18"/>
      <c r="E3" s="18"/>
      <c r="F3" s="18"/>
      <c r="G3" s="18"/>
      <c r="H3" s="18"/>
      <c r="I3" s="18"/>
      <c r="J3" s="18"/>
      <c r="K3" s="18"/>
    </row>
    <row r="4" spans="2:11">
      <c r="B4" s="19" t="s">
        <v>16</v>
      </c>
      <c r="C4" s="20"/>
      <c r="D4" s="20"/>
      <c r="E4" s="20"/>
      <c r="F4" s="20"/>
      <c r="G4" s="20"/>
      <c r="H4" s="20"/>
      <c r="I4" s="20"/>
      <c r="J4" s="20"/>
      <c r="K4" s="20"/>
    </row>
    <row r="5" spans="2:11">
      <c r="B5" s="5" t="s">
        <v>2</v>
      </c>
      <c r="C5" s="21" t="s">
        <v>3</v>
      </c>
      <c r="D5" s="21"/>
      <c r="E5" s="21"/>
      <c r="F5" s="5" t="s">
        <v>4</v>
      </c>
      <c r="G5" s="5" t="s">
        <v>5</v>
      </c>
      <c r="H5" s="5" t="s">
        <v>0</v>
      </c>
      <c r="I5" s="15" t="s">
        <v>15</v>
      </c>
      <c r="J5" s="5" t="s">
        <v>14</v>
      </c>
      <c r="K5" s="6" t="s">
        <v>10</v>
      </c>
    </row>
    <row r="6" spans="2:11" ht="16.5" customHeight="1">
      <c r="B6" s="2" t="s">
        <v>18</v>
      </c>
      <c r="C6" s="22" t="s">
        <v>13</v>
      </c>
      <c r="D6" s="23"/>
      <c r="E6" s="24"/>
      <c r="F6" s="7">
        <v>2339120</v>
      </c>
      <c r="G6" s="7">
        <v>1267554</v>
      </c>
      <c r="H6" s="13">
        <v>0.54200000000000004</v>
      </c>
      <c r="I6" s="7">
        <v>511095330</v>
      </c>
      <c r="J6" s="16">
        <v>3.7999999999999999E-2</v>
      </c>
      <c r="K6" s="3">
        <f>I6*J6</f>
        <v>19421622.539999999</v>
      </c>
    </row>
    <row r="7" spans="2:11">
      <c r="B7" s="17" t="s">
        <v>1</v>
      </c>
      <c r="C7" s="17"/>
      <c r="D7" s="17"/>
      <c r="E7" s="17"/>
      <c r="F7" s="17"/>
      <c r="G7" s="17"/>
      <c r="H7" s="17"/>
      <c r="I7" s="14"/>
      <c r="J7" s="14"/>
      <c r="K7" s="8">
        <f>SUM(K6:K6)</f>
        <v>19421622.539999999</v>
      </c>
    </row>
    <row r="8" spans="2:11">
      <c r="B8" s="26"/>
      <c r="C8" s="27"/>
      <c r="D8" s="27"/>
      <c r="E8" s="27"/>
      <c r="F8" s="27"/>
      <c r="G8" s="27"/>
      <c r="H8" s="27"/>
      <c r="I8" s="27"/>
      <c r="J8" s="27"/>
      <c r="K8" s="28"/>
    </row>
    <row r="9" spans="2:11" ht="16.5" customHeight="1">
      <c r="B9" s="1" t="s">
        <v>8</v>
      </c>
      <c r="C9" s="29" t="s">
        <v>9</v>
      </c>
      <c r="D9" s="29"/>
      <c r="E9" s="17" t="s">
        <v>7</v>
      </c>
      <c r="F9" s="17"/>
      <c r="G9" s="40" t="s">
        <v>11</v>
      </c>
      <c r="H9" s="41"/>
      <c r="I9" s="1" t="s">
        <v>6</v>
      </c>
      <c r="J9" s="34" t="s">
        <v>1</v>
      </c>
      <c r="K9" s="35"/>
    </row>
    <row r="10" spans="2:11">
      <c r="B10" s="11">
        <v>46112</v>
      </c>
      <c r="C10" s="32">
        <v>46173</v>
      </c>
      <c r="D10" s="33"/>
      <c r="E10" s="30" t="s">
        <v>13</v>
      </c>
      <c r="F10" s="31"/>
      <c r="G10" s="36">
        <f>K6</f>
        <v>19421622.539999999</v>
      </c>
      <c r="H10" s="37"/>
      <c r="I10" s="12">
        <f>G10*0.1</f>
        <v>1942162.254</v>
      </c>
      <c r="J10" s="36">
        <f>I10+G10</f>
        <v>21363784.794</v>
      </c>
      <c r="K10" s="37"/>
    </row>
    <row r="11" spans="2:11">
      <c r="B11" s="25" t="s">
        <v>12</v>
      </c>
      <c r="C11" s="25"/>
      <c r="D11" s="25"/>
      <c r="E11" s="25"/>
      <c r="F11" s="25"/>
      <c r="G11" s="38">
        <f>SUM(G10:G10)</f>
        <v>19421622.539999999</v>
      </c>
      <c r="H11" s="39"/>
      <c r="I11" s="9">
        <f>SUM(I10:I10)</f>
        <v>1942162.254</v>
      </c>
      <c r="J11" s="38">
        <f>SUM(J10:J10)</f>
        <v>21363784.794</v>
      </c>
      <c r="K11" s="39"/>
    </row>
    <row r="14" spans="2:11">
      <c r="G14" s="4"/>
      <c r="I14" s="4"/>
    </row>
    <row r="16" spans="2:11">
      <c r="G16" s="10"/>
      <c r="H16" s="10"/>
      <c r="I16" s="10"/>
      <c r="J16" s="10"/>
      <c r="K16" s="10"/>
    </row>
    <row r="17" spans="7:11">
      <c r="G17" s="10"/>
      <c r="H17" s="10"/>
      <c r="I17" s="10"/>
      <c r="J17" s="10"/>
      <c r="K17" s="10"/>
    </row>
    <row r="18" spans="7:11">
      <c r="G18" s="10"/>
      <c r="H18" s="10"/>
      <c r="I18" s="10"/>
      <c r="J18" s="10"/>
      <c r="K18" s="10"/>
    </row>
    <row r="20" spans="7:11">
      <c r="G20" s="4"/>
      <c r="I20" s="4"/>
    </row>
  </sheetData>
  <mergeCells count="17">
    <mergeCell ref="B11:F11"/>
    <mergeCell ref="B8:K8"/>
    <mergeCell ref="C9:D9"/>
    <mergeCell ref="E9:F9"/>
    <mergeCell ref="E10:F10"/>
    <mergeCell ref="C10:D10"/>
    <mergeCell ref="J9:K9"/>
    <mergeCell ref="J10:K10"/>
    <mergeCell ref="J11:K11"/>
    <mergeCell ref="G9:H9"/>
    <mergeCell ref="G10:H10"/>
    <mergeCell ref="G11:H11"/>
    <mergeCell ref="B7:H7"/>
    <mergeCell ref="B3:K3"/>
    <mergeCell ref="B4:K4"/>
    <mergeCell ref="C5:E5"/>
    <mergeCell ref="C6:E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매체 정산서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김재호</dc:creator>
  <cp:lastModifiedBy>jaeho kim</cp:lastModifiedBy>
  <cp:lastPrinted>2023-10-02T01:40:07Z</cp:lastPrinted>
  <dcterms:created xsi:type="dcterms:W3CDTF">2023-05-08T05:00:26Z</dcterms:created>
  <dcterms:modified xsi:type="dcterms:W3CDTF">2026-04-05T03:37:34Z</dcterms:modified>
</cp:coreProperties>
</file>